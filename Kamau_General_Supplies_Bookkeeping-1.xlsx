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ransactions" sheetId="1" state="visible" r:id="rId3"/>
    <sheet name="Month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<sst xmlns="http://schemas.openxmlformats.org/spreadsheetml/2006/main" count="86" uniqueCount="64">
  <si>
    <t xml:space="preserve">KAMAU GENERAL SUPPLIES – DAILY TRANSACTION RECORD</t>
  </si>
  <si>
    <t xml:space="preserve">Month:</t>
  </si>
  <si>
    <t xml:space="preserve">May 2025</t>
  </si>
  <si>
    <t xml:space="preserve">Business:</t>
  </si>
  <si>
    <t xml:space="preserve">Kamau General Supplies</t>
  </si>
  <si>
    <t xml:space="preserve">Currency: KES</t>
  </si>
  <si>
    <t xml:space="preserve">Date</t>
  </si>
  <si>
    <t xml:space="preserve">Description</t>
  </si>
  <si>
    <t xml:space="preserve">Category</t>
  </si>
  <si>
    <t xml:space="preserve">Income (KES)</t>
  </si>
  <si>
    <t xml:space="preserve">Expense (KES)</t>
  </si>
  <si>
    <t xml:space="preserve">Balance (KES)</t>
  </si>
  <si>
    <t xml:space="preserve">Notes</t>
  </si>
  <si>
    <t xml:space="preserve">01-May-25</t>
  </si>
  <si>
    <t xml:space="preserve">Opening Balance</t>
  </si>
  <si>
    <t xml:space="preserve">Capital</t>
  </si>
  <si>
    <t xml:space="preserve">Starting balance</t>
  </si>
  <si>
    <t xml:space="preserve">02-May-25</t>
  </si>
  <si>
    <t xml:space="preserve">Sale – Maize Flour</t>
  </si>
  <si>
    <t xml:space="preserve">Sales</t>
  </si>
  <si>
    <t xml:space="preserve">10 bags @ 350</t>
  </si>
  <si>
    <t xml:space="preserve">Transport Cost</t>
  </si>
  <si>
    <t xml:space="preserve">Operations</t>
  </si>
  <si>
    <t xml:space="preserve">Delivery fee</t>
  </si>
  <si>
    <t xml:space="preserve">03-May-25</t>
  </si>
  <si>
    <t xml:space="preserve">Sale – Cooking Oil</t>
  </si>
  <si>
    <t xml:space="preserve">7 litres @ 600</t>
  </si>
  <si>
    <t xml:space="preserve">04-May-25</t>
  </si>
  <si>
    <t xml:space="preserve">Stock Purchase</t>
  </si>
  <si>
    <t xml:space="preserve">Inventory</t>
  </si>
  <si>
    <t xml:space="preserve">Restocking</t>
  </si>
  <si>
    <t xml:space="preserve">05-May-25</t>
  </si>
  <si>
    <t xml:space="preserve">Sale – Sugar</t>
  </si>
  <si>
    <t xml:space="preserve">20 kg @ 140</t>
  </si>
  <si>
    <t xml:space="preserve">06-May-25</t>
  </si>
  <si>
    <t xml:space="preserve">Electricity Bill</t>
  </si>
  <si>
    <t xml:space="preserve">Utilities</t>
  </si>
  <si>
    <t xml:space="preserve">Monthly bill</t>
  </si>
  <si>
    <t xml:space="preserve">07-May-25</t>
  </si>
  <si>
    <t xml:space="preserve">Sale – Rice</t>
  </si>
  <si>
    <t xml:space="preserve">8 kg bags</t>
  </si>
  <si>
    <t xml:space="preserve">08-May-25</t>
  </si>
  <si>
    <t xml:space="preserve">Rent Payment</t>
  </si>
  <si>
    <t xml:space="preserve">Rent</t>
  </si>
  <si>
    <t xml:space="preserve">Shop rent</t>
  </si>
  <si>
    <t xml:space="preserve">09-May-25</t>
  </si>
  <si>
    <t xml:space="preserve">6 litres</t>
  </si>
  <si>
    <t xml:space="preserve">10-May-25</t>
  </si>
  <si>
    <t xml:space="preserve">Miscellaneous Expense</t>
  </si>
  <si>
    <t xml:space="preserve">Stationery</t>
  </si>
  <si>
    <t xml:space="preserve">11-May-25</t>
  </si>
  <si>
    <t xml:space="preserve">Weekend sales</t>
  </si>
  <si>
    <t xml:space="preserve">12-May-25</t>
  </si>
  <si>
    <t xml:space="preserve">Top-up stock</t>
  </si>
  <si>
    <t xml:space="preserve">13-May-25</t>
  </si>
  <si>
    <t xml:space="preserve">30 kg</t>
  </si>
  <si>
    <t xml:space="preserve">14-May-25</t>
  </si>
  <si>
    <t xml:space="preserve">4 litres</t>
  </si>
  <si>
    <t xml:space="preserve">TOTALS</t>
  </si>
  <si>
    <t xml:space="preserve">MONTHLY INCOME &amp; EXPENSE SUMMARY</t>
  </si>
  <si>
    <t xml:space="preserve">Total Income (KES)</t>
  </si>
  <si>
    <t xml:space="preserve">Total Expense (KES)</t>
  </si>
  <si>
    <t xml:space="preserve">Net (KES)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</si>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</sst>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customFormat="false" ht="15" hidden="false" customHeight="false" outlineLevel="0" collapsed="false">
      <c r="A4" s="5" t="s">
        <v>13</v>
      </c>
      <c r="B4" s="6" t="s">
        <v>14</v>
      </c>
      <c r="C4" s="5" t="s">
        <v>15</v>
      </c>
      <c r="D4" s="5" t="n">
        <v>50000</v>
      </c>
      <c r="E4" s="5"/>
      <c r="F4" s="5" t="n">
        <f aca="false">D4</f>
        <v>50000</v>
      </c>
      <c r="G4" s="5" t="s">
        <v>16</v>
      </c>
    </row>
    <row r="5" customFormat="false" ht="15" hidden="false" customHeight="false" outlineLevel="0" collapsed="false">
      <c r="A5" s="7" t="s">
        <v>17</v>
      </c>
      <c r="B5" s="8" t="s">
        <v>18</v>
      </c>
      <c r="C5" s="7" t="s">
        <v>19</v>
      </c>
      <c r="D5" s="7" t="n">
        <v>3500</v>
      </c>
      <c r="E5" s="7"/>
      <c r="F5" s="7" t="n">
        <f aca="false">F4+IF(D5="",0,D5)-IF(E5="",0,E5)</f>
        <v>53500</v>
      </c>
      <c r="G5" s="7" t="s">
        <v>20</v>
      </c>
    </row>
    <row r="6" customFormat="false" ht="15" hidden="false" customHeight="false" outlineLevel="0" collapsed="false">
      <c r="A6" s="5" t="s">
        <v>17</v>
      </c>
      <c r="B6" s="6" t="s">
        <v>21</v>
      </c>
      <c r="C6" s="5" t="s">
        <v>22</v>
      </c>
      <c r="D6" s="5"/>
      <c r="E6" s="5" t="n">
        <v>800</v>
      </c>
      <c r="F6" s="5" t="n">
        <f aca="false">F5+IF(D6="",0,D6)-IF(E6="",0,E6)</f>
        <v>52700</v>
      </c>
      <c r="G6" s="5" t="s">
        <v>23</v>
      </c>
    </row>
    <row r="7" customFormat="false" ht="15" hidden="false" customHeight="false" outlineLevel="0" collapsed="false">
      <c r="A7" s="7" t="s">
        <v>24</v>
      </c>
      <c r="B7" s="8" t="s">
        <v>25</v>
      </c>
      <c r="C7" s="7" t="s">
        <v>19</v>
      </c>
      <c r="D7" s="7" t="n">
        <v>4200</v>
      </c>
      <c r="E7" s="7"/>
      <c r="F7" s="7" t="n">
        <f aca="false">F6+IF(D7="",0,D7)-IF(E7="",0,E7)</f>
        <v>56900</v>
      </c>
      <c r="G7" s="7" t="s">
        <v>26</v>
      </c>
    </row>
    <row r="8" customFormat="false" ht="15" hidden="false" customHeight="false" outlineLevel="0" collapsed="false">
      <c r="A8" s="5" t="s">
        <v>27</v>
      </c>
      <c r="B8" s="6" t="s">
        <v>28</v>
      </c>
      <c r="C8" s="5" t="s">
        <v>29</v>
      </c>
      <c r="D8" s="5"/>
      <c r="E8" s="5" t="n">
        <v>12000</v>
      </c>
      <c r="F8" s="5" t="n">
        <f aca="false">F7+IF(D8="",0,D8)-IF(E8="",0,E8)</f>
        <v>44900</v>
      </c>
      <c r="G8" s="5" t="s">
        <v>30</v>
      </c>
    </row>
    <row r="9" customFormat="false" ht="15" hidden="false" customHeight="false" outlineLevel="0" collapsed="false">
      <c r="A9" s="7" t="s">
        <v>31</v>
      </c>
      <c r="B9" s="8" t="s">
        <v>32</v>
      </c>
      <c r="C9" s="7" t="s">
        <v>19</v>
      </c>
      <c r="D9" s="7" t="n">
        <v>2800</v>
      </c>
      <c r="E9" s="7"/>
      <c r="F9" s="7" t="n">
        <f aca="false">F8+IF(D9="",0,D9)-IF(E9="",0,E9)</f>
        <v>47700</v>
      </c>
      <c r="G9" s="7" t="s">
        <v>33</v>
      </c>
    </row>
    <row r="10" customFormat="false" ht="15" hidden="false" customHeight="false" outlineLevel="0" collapsed="false">
      <c r="A10" s="5" t="s">
        <v>34</v>
      </c>
      <c r="B10" s="6" t="s">
        <v>35</v>
      </c>
      <c r="C10" s="5" t="s">
        <v>36</v>
      </c>
      <c r="D10" s="5"/>
      <c r="E10" s="5" t="n">
        <v>1500</v>
      </c>
      <c r="F10" s="5" t="n">
        <f aca="false">F9+IF(D10="",0,D10)-IF(E10="",0,E10)</f>
        <v>46200</v>
      </c>
      <c r="G10" s="5" t="s">
        <v>37</v>
      </c>
    </row>
    <row r="11" customFormat="false" ht="15" hidden="false" customHeight="false" outlineLevel="0" collapsed="false">
      <c r="A11" s="7" t="s">
        <v>38</v>
      </c>
      <c r="B11" s="8" t="s">
        <v>39</v>
      </c>
      <c r="C11" s="7" t="s">
        <v>19</v>
      </c>
      <c r="D11" s="7" t="n">
        <v>5600</v>
      </c>
      <c r="E11" s="7"/>
      <c r="F11" s="7" t="n">
        <f aca="false">F10+IF(D11="",0,D11)-IF(E11="",0,E11)</f>
        <v>51800</v>
      </c>
      <c r="G11" s="7" t="s">
        <v>40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5" t="s">
        <v>43</v>
      </c>
      <c r="D12" s="5"/>
      <c r="E12" s="5" t="n">
        <v>8000</v>
      </c>
      <c r="F12" s="5" t="n">
        <f aca="false">F11+IF(D12="",0,D12)-IF(E12="",0,E12)</f>
        <v>43800</v>
      </c>
      <c r="G12" s="5" t="s">
        <v>44</v>
      </c>
    </row>
    <row r="13" customFormat="false" ht="15" hidden="false" customHeight="false" outlineLevel="0" collapsed="false">
      <c r="A13" s="7" t="s">
        <v>45</v>
      </c>
      <c r="B13" s="8" t="s">
        <v>25</v>
      </c>
      <c r="C13" s="7" t="s">
        <v>19</v>
      </c>
      <c r="D13" s="7" t="n">
        <v>3600</v>
      </c>
      <c r="E13" s="7"/>
      <c r="F13" s="7" t="n">
        <f aca="false">F12+IF(D13="",0,D13)-IF(E13="",0,E13)</f>
        <v>47400</v>
      </c>
      <c r="G13" s="7" t="s">
        <v>46</v>
      </c>
    </row>
    <row r="14" customFormat="false" ht="15" hidden="false" customHeight="false" outlineLevel="0" collapsed="false">
      <c r="A14" s="5" t="s">
        <v>47</v>
      </c>
      <c r="B14" s="6" t="s">
        <v>48</v>
      </c>
      <c r="C14" s="5" t="s">
        <v>22</v>
      </c>
      <c r="D14" s="5"/>
      <c r="E14" s="5" t="n">
        <v>500</v>
      </c>
      <c r="F14" s="5" t="n">
        <f aca="false">F13+IF(D14="",0,D14)-IF(E14="",0,E14)</f>
        <v>46900</v>
      </c>
      <c r="G14" s="5" t="s">
        <v>49</v>
      </c>
    </row>
    <row r="15" customFormat="false" ht="15" hidden="false" customHeight="false" outlineLevel="0" collapsed="false">
      <c r="A15" s="7" t="s">
        <v>50</v>
      </c>
      <c r="B15" s="8" t="s">
        <v>18</v>
      </c>
      <c r="C15" s="7" t="s">
        <v>19</v>
      </c>
      <c r="D15" s="7" t="n">
        <v>7000</v>
      </c>
      <c r="E15" s="7"/>
      <c r="F15" s="7" t="n">
        <f aca="false">F14+IF(D15="",0,D15)-IF(E15="",0,E15)</f>
        <v>53900</v>
      </c>
      <c r="G15" s="7" t="s">
        <v>51</v>
      </c>
    </row>
    <row r="16" customFormat="false" ht="15" hidden="false" customHeight="false" outlineLevel="0" collapsed="false">
      <c r="A16" s="5" t="s">
        <v>52</v>
      </c>
      <c r="B16" s="6" t="s">
        <v>28</v>
      </c>
      <c r="C16" s="5" t="s">
        <v>29</v>
      </c>
      <c r="D16" s="5"/>
      <c r="E16" s="5" t="n">
        <v>9500</v>
      </c>
      <c r="F16" s="5" t="n">
        <f aca="false">F15+IF(D16="",0,D16)-IF(E16="",0,E16)</f>
        <v>44400</v>
      </c>
      <c r="G16" s="5" t="s">
        <v>53</v>
      </c>
    </row>
    <row r="17" customFormat="false" ht="15" hidden="false" customHeight="false" outlineLevel="0" collapsed="false">
      <c r="A17" s="7" t="s">
        <v>54</v>
      </c>
      <c r="B17" s="8" t="s">
        <v>32</v>
      </c>
      <c r="C17" s="7" t="s">
        <v>19</v>
      </c>
      <c r="D17" s="7" t="n">
        <v>4200</v>
      </c>
      <c r="E17" s="7"/>
      <c r="F17" s="7" t="n">
        <f aca="false">F16+IF(D17="",0,D17)-IF(E17="",0,E17)</f>
        <v>48600</v>
      </c>
      <c r="G17" s="7" t="s">
        <v>55</v>
      </c>
    </row>
    <row r="18" customFormat="false" ht="15" hidden="false" customHeight="false" outlineLevel="0" collapsed="false">
      <c r="A18" s="5" t="s">
        <v>56</v>
      </c>
      <c r="B18" s="6" t="s">
        <v>25</v>
      </c>
      <c r="C18" s="5" t="s">
        <v>19</v>
      </c>
      <c r="D18" s="5" t="n">
        <v>2400</v>
      </c>
      <c r="E18" s="5"/>
      <c r="F18" s="5" t="n">
        <f aca="false">F17+IF(D18="",0,D18)-IF(E18="",0,E18)</f>
        <v>51000</v>
      </c>
      <c r="G18" s="5" t="s">
        <v>57</v>
      </c>
    </row>
    <row r="19" customFormat="false" ht="15" hidden="false" customHeight="false" outlineLevel="0" collapsed="false">
      <c r="A19" s="9"/>
      <c r="B19" s="10" t="s">
        <v>58</v>
      </c>
      <c r="C19" s="9"/>
      <c r="D19" s="10" t="n">
        <f aca="false">SUM(D4:D18)</f>
        <v>83300</v>
      </c>
      <c r="E19" s="10" t="n">
        <f aca="false">SUM(E4:E18)</f>
        <v>32300</v>
      </c>
      <c r="F19" s="10" t="n">
        <f aca="false">D19-E19</f>
        <v>51000</v>
      </c>
      <c r="G19" s="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1" t="s">
        <v>59</v>
      </c>
      <c r="B1" s="11"/>
      <c r="C1" s="11"/>
      <c r="D1" s="11"/>
    </row>
    <row r="2" customFormat="false" ht="15" hidden="false" customHeight="false" outlineLevel="0" collapsed="false">
      <c r="A2" s="12" t="s">
        <v>8</v>
      </c>
      <c r="B2" s="12" t="s">
        <v>60</v>
      </c>
      <c r="C2" s="12" t="s">
        <v>61</v>
      </c>
      <c r="D2" s="12" t="s">
        <v>62</v>
      </c>
    </row>
    <row r="3" customFormat="false" ht="15" hidden="false" customHeight="false" outlineLevel="0" collapsed="false">
      <c r="A3" s="13" t="s">
        <v>19</v>
      </c>
      <c r="B3" s="13" t="n">
        <v>26300</v>
      </c>
      <c r="C3" s="13" t="n">
        <v>0</v>
      </c>
      <c r="D3" s="13" t="n">
        <f aca="false">B3-C3</f>
        <v>26300</v>
      </c>
    </row>
    <row r="4" customFormat="false" ht="15" hidden="false" customHeight="false" outlineLevel="0" collapsed="false">
      <c r="A4" s="14" t="s">
        <v>29</v>
      </c>
      <c r="B4" s="14" t="n">
        <v>0</v>
      </c>
      <c r="C4" s="14" t="n">
        <v>21500</v>
      </c>
      <c r="D4" s="14" t="n">
        <f aca="false">B4-C4</f>
        <v>-21500</v>
      </c>
    </row>
    <row r="5" customFormat="false" ht="15" hidden="false" customHeight="false" outlineLevel="0" collapsed="false">
      <c r="A5" s="13" t="s">
        <v>22</v>
      </c>
      <c r="B5" s="13" t="n">
        <v>0</v>
      </c>
      <c r="C5" s="13" t="n">
        <v>1300</v>
      </c>
      <c r="D5" s="13" t="n">
        <f aca="false">B5-C5</f>
        <v>-1300</v>
      </c>
    </row>
    <row r="6" customFormat="false" ht="15" hidden="false" customHeight="false" outlineLevel="0" collapsed="false">
      <c r="A6" s="14" t="s">
        <v>36</v>
      </c>
      <c r="B6" s="14" t="n">
        <v>0</v>
      </c>
      <c r="C6" s="14" t="n">
        <v>1500</v>
      </c>
      <c r="D6" s="14" t="n">
        <f aca="false">B6-C6</f>
        <v>-1500</v>
      </c>
    </row>
    <row r="7" customFormat="false" ht="15" hidden="false" customHeight="false" outlineLevel="0" collapsed="false">
      <c r="A7" s="13" t="s">
        <v>43</v>
      </c>
      <c r="B7" s="13" t="n">
        <v>0</v>
      </c>
      <c r="C7" s="13" t="n">
        <v>8000</v>
      </c>
      <c r="D7" s="13" t="n">
        <f aca="false">B7-C7</f>
        <v>-8000</v>
      </c>
    </row>
    <row r="8" customFormat="false" ht="15" hidden="false" customHeight="false" outlineLevel="0" collapsed="false">
      <c r="A8" s="14" t="s">
        <v>15</v>
      </c>
      <c r="B8" s="14" t="n">
        <v>50000</v>
      </c>
      <c r="C8" s="14" t="n">
        <v>0</v>
      </c>
      <c r="D8" s="14" t="n">
        <f aca="false">B8-C8</f>
        <v>50000</v>
      </c>
    </row>
    <row r="9" customFormat="false" ht="15" hidden="false" customHeight="false" outlineLevel="0" collapsed="false">
      <c r="A9" s="10" t="s">
        <v>63</v>
      </c>
      <c r="B9" s="10" t="n">
        <f aca="false">SUM(B3:B8)</f>
        <v>76300</v>
      </c>
      <c r="C9" s="10" t="n">
        <f aca="false">SUM(C3:C8)</f>
        <v>32300</v>
      </c>
      <c r="D9" s="10" t="n">
        <f aca="false">B9-C9</f>
        <v>44000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2026-05-30T20:55:49Z</dcterms:created>
  <dc:creator>openpyxl</dc:creator>
  <dc:description/>
  <dc:language>en-US</dc:language>
  <cp:lastModifiedBy/>
  <dcterms:modified xsi:type="dcterms:W3CDTF">2026-05-30T20:55:49Z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