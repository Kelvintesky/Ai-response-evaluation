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 Flow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<sst xmlns="http://schemas.openxmlformats.org/spreadsheetml/2006/main" count="28" uniqueCount="28">
  <si>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KAMAU GENERAL SUPPLIES – MONTHLY CASH FLOW TRACKER 2025</t>
  </si>
  <si>
    <t xml:space="preserve">Item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</si>
  <si>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</si>
  <si>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</si>
  <si>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</si>
  <si>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</si>
  <si>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</si>
  <si>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</si>
  <si>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</si>
  <si>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</si>
  <si>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</si>
  <si>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</si>
  <si>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</si>
  <si>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</si>
  <si>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── CASH INFLOWS ──</t>
  </si>
  <si>
    <t xml:space="preserve">Sales Revenue</t>
  </si>
  <si>
    <t xml:space="preserve">Other Income</t>
  </si>
  <si>
    <t xml:space="preserve">Total Inflows</t>
  </si>
  <si>
    <t xml:space="preserve">── CASH OUTFLOWS ──</t>
  </si>
  <si>
    <t xml:space="preserve">Stock/Inventory</t>
  </si>
  <si>
    <t xml:space="preserve">Rent</t>
  </si>
  <si>
    <t xml:space="preserve">Electricity</t>
  </si>
  <si>
    <t xml:space="preserve">Transport</t>
  </si>
  <si>
    <t xml:space="preserve">Miscellaneous</t>
  </si>
  <si>
    <t xml:space="preserve">Total Outflows</t>
  </si>
  <si>
    <t xml:space="preserve">NET CASH FLOW</t>
  </si>
  <si>
    <t xml:space="preserve">Opening Balance</t>
  </si>
  <si>
    <t xml:space="preserve">Closing Balance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</si>
</sst>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375623"/>
        <bgColor rgb="FF333300"/>
      </patternFill>
    </fill>
    <fill>
      <patternFill patternType="solid">
        <fgColor rgb="FF548235"/>
        <bgColor rgb="FF339966"/>
      </patternFill>
    </fill>
    <fill>
      <patternFill patternType="solid">
        <fgColor rgb="FF70AD47"/>
        <bgColor rgb="FF548235"/>
      </patternFill>
    </fill>
    <fill>
      <patternFill patternType="solid">
        <fgColor rgb="FFE2EFDA"/>
        <bgColor rgb="FFFCE4D6"/>
      </patternFill>
    </fill>
    <fill>
      <patternFill patternType="solid">
        <fgColor rgb="FFA9D18E"/>
        <bgColor rgb="FFBDD7EE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E2EFDA"/>
      </patternFill>
    </fill>
    <fill>
      <patternFill patternType="solid">
        <fgColor rgb="FFF4B183"/>
        <bgColor rgb="FFFF99CC"/>
      </patternFill>
    </fill>
    <fill>
      <patternFill patternType="solid">
        <fgColor rgb="FF1F4E79"/>
        <bgColor rgb="FF003366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15" hidden="false" customHeight="false" outlineLevel="0" collapsed="false">
      <c r="A4" s="5" t="s">
        <v>15</v>
      </c>
      <c r="B4" s="6" t="n">
        <v>26300</v>
      </c>
      <c r="C4" s="6" t="n">
        <v>24800</v>
      </c>
      <c r="D4" s="6" t="n">
        <v>28500</v>
      </c>
      <c r="E4" s="6" t="n">
        <v>31000</v>
      </c>
      <c r="F4" s="6" t="n">
        <v>26300</v>
      </c>
      <c r="G4" s="6"/>
      <c r="H4" s="6"/>
      <c r="I4" s="6"/>
      <c r="J4" s="6"/>
      <c r="K4" s="6"/>
      <c r="L4" s="6"/>
      <c r="M4" s="6"/>
    </row>
    <row r="5" customFormat="false" ht="15" hidden="false" customHeight="false" outlineLevel="0" collapsed="false">
      <c r="A5" s="5" t="s">
        <v>16</v>
      </c>
      <c r="B5" s="5" t="n">
        <v>500</v>
      </c>
      <c r="C5" s="5" t="n">
        <v>200</v>
      </c>
      <c r="D5" s="5" t="n">
        <v>300</v>
      </c>
      <c r="E5" s="5" t="n">
        <v>400</v>
      </c>
      <c r="F5" s="5" t="n">
        <v>500</v>
      </c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7" t="s">
        <v>17</v>
      </c>
      <c r="B6" s="8" t="n">
        <f aca="false">SUM(B4:B5)</f>
        <v>26800</v>
      </c>
      <c r="C6" s="8" t="n">
        <f aca="false">SUM(C4:C5)</f>
        <v>25000</v>
      </c>
      <c r="D6" s="8" t="n">
        <f aca="false">SUM(D4:D5)</f>
        <v>28800</v>
      </c>
      <c r="E6" s="8" t="n">
        <f aca="false">SUM(E4:E5)</f>
        <v>31400</v>
      </c>
      <c r="F6" s="8" t="n">
        <f aca="false">SUM(F4:F5)</f>
        <v>26800</v>
      </c>
      <c r="G6" s="8" t="n">
        <f aca="false">SUM(G4:G5)</f>
        <v>0</v>
      </c>
      <c r="H6" s="8" t="n">
        <f aca="false">SUM(H4:H5)</f>
        <v>0</v>
      </c>
      <c r="I6" s="8" t="n">
        <f aca="false">SUM(I4:I5)</f>
        <v>0</v>
      </c>
      <c r="J6" s="8" t="n">
        <f aca="false">SUM(J4:J5)</f>
        <v>0</v>
      </c>
      <c r="K6" s="8" t="n">
        <f aca="false">SUM(K4:K5)</f>
        <v>0</v>
      </c>
      <c r="L6" s="8" t="n">
        <f aca="false">SUM(L4:L5)</f>
        <v>0</v>
      </c>
      <c r="M6" s="8" t="n">
        <f aca="false">SUM(M4:M5)</f>
        <v>0</v>
      </c>
    </row>
    <row r="7" customFormat="false" ht="15" hidden="false" customHeight="false" outlineLevel="0" collapsed="false">
      <c r="A7" s="9" t="s">
        <v>18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customFormat="false" ht="15" hidden="false" customHeight="false" outlineLevel="0" collapsed="false">
      <c r="A8" s="5" t="s">
        <v>19</v>
      </c>
      <c r="B8" s="11" t="n">
        <v>21500</v>
      </c>
      <c r="C8" s="11" t="n">
        <v>19000</v>
      </c>
      <c r="D8" s="11" t="n">
        <v>22000</v>
      </c>
      <c r="E8" s="11" t="n">
        <v>25000</v>
      </c>
      <c r="F8" s="11" t="n">
        <v>21500</v>
      </c>
      <c r="G8" s="11"/>
      <c r="H8" s="11"/>
      <c r="I8" s="11"/>
      <c r="J8" s="11"/>
      <c r="K8" s="11"/>
      <c r="L8" s="11"/>
      <c r="M8" s="11"/>
    </row>
    <row r="9" customFormat="false" ht="15" hidden="false" customHeight="false" outlineLevel="0" collapsed="false">
      <c r="A9" s="5" t="s">
        <v>20</v>
      </c>
      <c r="B9" s="5" t="n">
        <v>8000</v>
      </c>
      <c r="C9" s="5" t="n">
        <v>8000</v>
      </c>
      <c r="D9" s="5" t="n">
        <v>8000</v>
      </c>
      <c r="E9" s="5" t="n">
        <v>8000</v>
      </c>
      <c r="F9" s="5" t="n">
        <v>8000</v>
      </c>
      <c r="G9" s="5"/>
      <c r="H9" s="5"/>
      <c r="I9" s="5"/>
      <c r="J9" s="5"/>
      <c r="K9" s="5"/>
      <c r="L9" s="5"/>
      <c r="M9" s="5"/>
    </row>
    <row r="10" customFormat="false" ht="15" hidden="false" customHeight="false" outlineLevel="0" collapsed="false">
      <c r="A10" s="5" t="s">
        <v>21</v>
      </c>
      <c r="B10" s="11" t="n">
        <v>1500</v>
      </c>
      <c r="C10" s="11" t="n">
        <v>1500</v>
      </c>
      <c r="D10" s="11" t="n">
        <v>1500</v>
      </c>
      <c r="E10" s="11" t="n">
        <v>1500</v>
      </c>
      <c r="F10" s="11" t="n">
        <v>1500</v>
      </c>
      <c r="G10" s="11"/>
      <c r="H10" s="11"/>
      <c r="I10" s="11"/>
      <c r="J10" s="11"/>
      <c r="K10" s="11"/>
      <c r="L10" s="11"/>
      <c r="M10" s="11"/>
    </row>
    <row r="11" customFormat="false" ht="15" hidden="false" customHeight="false" outlineLevel="0" collapsed="false">
      <c r="A11" s="5" t="s">
        <v>22</v>
      </c>
      <c r="B11" s="5" t="n">
        <v>800</v>
      </c>
      <c r="C11" s="5" t="n">
        <v>600</v>
      </c>
      <c r="D11" s="5" t="n">
        <v>750</v>
      </c>
      <c r="E11" s="5" t="n">
        <v>900</v>
      </c>
      <c r="F11" s="5" t="n">
        <v>800</v>
      </c>
      <c r="G11" s="5"/>
      <c r="H11" s="5"/>
      <c r="I11" s="5"/>
      <c r="J11" s="5"/>
      <c r="K11" s="5"/>
      <c r="L11" s="5"/>
      <c r="M11" s="5"/>
    </row>
    <row r="12" customFormat="false" ht="15" hidden="false" customHeight="false" outlineLevel="0" collapsed="false">
      <c r="A12" s="5" t="s">
        <v>23</v>
      </c>
      <c r="B12" s="11" t="n">
        <v>500</v>
      </c>
      <c r="C12" s="11" t="n">
        <v>300</v>
      </c>
      <c r="D12" s="11" t="n">
        <v>400</v>
      </c>
      <c r="E12" s="11" t="n">
        <v>350</v>
      </c>
      <c r="F12" s="11" t="n">
        <v>500</v>
      </c>
      <c r="G12" s="11"/>
      <c r="H12" s="11"/>
      <c r="I12" s="11"/>
      <c r="J12" s="11"/>
      <c r="K12" s="11"/>
      <c r="L12" s="11"/>
      <c r="M12" s="11"/>
    </row>
    <row r="13" customFormat="false" ht="15" hidden="false" customHeight="false" outlineLevel="0" collapsed="false">
      <c r="A13" s="12" t="s">
        <v>24</v>
      </c>
      <c r="B13" s="13" t="n">
        <f aca="false">SUM(B8:B12)</f>
        <v>32300</v>
      </c>
      <c r="C13" s="13" t="n">
        <f aca="false">SUM(C8:C12)</f>
        <v>29400</v>
      </c>
      <c r="D13" s="13" t="n">
        <f aca="false">SUM(D8:D12)</f>
        <v>32650</v>
      </c>
      <c r="E13" s="13" t="n">
        <f aca="false">SUM(E8:E12)</f>
        <v>35750</v>
      </c>
      <c r="F13" s="13" t="n">
        <f aca="false">SUM(F8:F12)</f>
        <v>32300</v>
      </c>
      <c r="G13" s="13" t="n">
        <f aca="false">SUM(G8:G12)</f>
        <v>0</v>
      </c>
      <c r="H13" s="13" t="n">
        <f aca="false">SUM(H8:H12)</f>
        <v>0</v>
      </c>
      <c r="I13" s="13" t="n">
        <f aca="false">SUM(I8:I12)</f>
        <v>0</v>
      </c>
      <c r="J13" s="13" t="n">
        <f aca="false">SUM(J8:J12)</f>
        <v>0</v>
      </c>
      <c r="K13" s="13" t="n">
        <f aca="false">SUM(K8:K12)</f>
        <v>0</v>
      </c>
      <c r="L13" s="13" t="n">
        <f aca="false">SUM(L8:L12)</f>
        <v>0</v>
      </c>
      <c r="M13" s="13" t="n">
        <f aca="false">SUM(M8:M12)</f>
        <v>0</v>
      </c>
    </row>
    <row r="14" customFormat="false" ht="15" hidden="false" customHeight="false" outlineLevel="0" collapsed="false">
      <c r="A14" s="14" t="s">
        <v>25</v>
      </c>
      <c r="B14" s="15" t="n">
        <f aca="false">B6-B13</f>
        <v>-5500</v>
      </c>
      <c r="C14" s="15" t="n">
        <f aca="false">C6-C13</f>
        <v>-4400</v>
      </c>
      <c r="D14" s="15" t="n">
        <f aca="false">D6-D13</f>
        <v>-3850</v>
      </c>
      <c r="E14" s="15" t="n">
        <f aca="false">E6-E13</f>
        <v>-4350</v>
      </c>
      <c r="F14" s="15" t="n">
        <f aca="false">F6-F13</f>
        <v>-5500</v>
      </c>
      <c r="G14" s="15" t="n">
        <f aca="false">G6-G13</f>
        <v>0</v>
      </c>
      <c r="H14" s="15" t="n">
        <f aca="false">H6-H13</f>
        <v>0</v>
      </c>
      <c r="I14" s="15" t="n">
        <f aca="false">I6-I13</f>
        <v>0</v>
      </c>
      <c r="J14" s="15" t="n">
        <f aca="false">J6-J13</f>
        <v>0</v>
      </c>
      <c r="K14" s="15" t="n">
        <f aca="false">K6-K13</f>
        <v>0</v>
      </c>
      <c r="L14" s="15" t="n">
        <f aca="false">L6-L13</f>
        <v>0</v>
      </c>
      <c r="M14" s="15" t="n">
        <f aca="false">M6-M13</f>
        <v>0</v>
      </c>
    </row>
    <row r="15" customFormat="false" ht="15" hidden="false" customHeight="false" outlineLevel="0" collapsed="false">
      <c r="A15" s="16" t="s">
        <v>26</v>
      </c>
      <c r="B15" s="0" t="n">
        <v>50000</v>
      </c>
      <c r="C15" s="17" t="n">
        <f aca="false">B16</f>
        <v>44500</v>
      </c>
      <c r="D15" s="17" t="n">
        <f aca="false">C16</f>
        <v>40100</v>
      </c>
      <c r="E15" s="17" t="n">
        <f aca="false">D16</f>
        <v>36250</v>
      </c>
      <c r="F15" s="17" t="n">
        <f aca="false">E16</f>
        <v>31900</v>
      </c>
      <c r="G15" s="17" t="n">
        <f aca="false">F16</f>
        <v>26400</v>
      </c>
      <c r="H15" s="17" t="n">
        <f aca="false">G16</f>
        <v>26400</v>
      </c>
      <c r="I15" s="17" t="n">
        <f aca="false">H16</f>
        <v>26400</v>
      </c>
      <c r="J15" s="17" t="n">
        <f aca="false">I16</f>
        <v>26400</v>
      </c>
      <c r="K15" s="17" t="n">
        <f aca="false">J16</f>
        <v>26400</v>
      </c>
      <c r="L15" s="17" t="n">
        <f aca="false">K16</f>
        <v>26400</v>
      </c>
      <c r="M15" s="17" t="n">
        <f aca="false">L16</f>
        <v>26400</v>
      </c>
    </row>
    <row r="16" customFormat="false" ht="15" hidden="false" customHeight="false" outlineLevel="0" collapsed="false">
      <c r="A16" s="16" t="s">
        <v>27</v>
      </c>
      <c r="B16" s="18" t="n">
        <f aca="false">B15+B14</f>
        <v>44500</v>
      </c>
      <c r="C16" s="18" t="n">
        <f aca="false">C15+C14</f>
        <v>40100</v>
      </c>
      <c r="D16" s="18" t="n">
        <f aca="false">D15+D14</f>
        <v>36250</v>
      </c>
      <c r="E16" s="18" t="n">
        <f aca="false">E15+E14</f>
        <v>31900</v>
      </c>
      <c r="F16" s="18" t="n">
        <f aca="false">F15+F14</f>
        <v>26400</v>
      </c>
      <c r="G16" s="18" t="n">
        <f aca="false">G15+G14</f>
        <v>26400</v>
      </c>
      <c r="H16" s="18" t="n">
        <f aca="false">H15+H14</f>
        <v>26400</v>
      </c>
      <c r="I16" s="18" t="n">
        <f aca="false">I15+I14</f>
        <v>26400</v>
      </c>
      <c r="J16" s="18" t="n">
        <f aca="false">J15+J14</f>
        <v>26400</v>
      </c>
      <c r="K16" s="18" t="n">
        <f aca="false">K15+K14</f>
        <v>26400</v>
      </c>
      <c r="L16" s="18" t="n">
        <f aca="false">L15+L14</f>
        <v>26400</v>
      </c>
      <c r="M16" s="18" t="n">
        <f aca="false">M15+M14</f>
        <v>26400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2026-05-30T20:55:49Z</dcterms:created>
  <dc:creator>openpyxl</dc:creator>
  <dc:description/>
  <dc:language>en-US</dc:language>
  <cp:lastModifiedBy/>
  <dcterms:modified xsi:type="dcterms:W3CDTF">2026-05-30T20:55:49Z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